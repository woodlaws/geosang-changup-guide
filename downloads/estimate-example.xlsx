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408a6c4a1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38988c3ca283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0b0195d9c4865" /><Relationship Type="http://schemas.openxmlformats.org/officeDocument/2006/relationships/theme" Target="/xl/theme/theme1.xml" Id="R38c127eabaf4477d" /><Relationship Type="http://schemas.openxmlformats.org/officeDocument/2006/relationships/sharedStrings" Target="/xl/sharedStrings.xml" Id="R26bc0f7ffaa7453c" /><Relationship Type="http://schemas.openxmlformats.org/officeDocument/2006/relationships/worksheet" Target="/xl/worksheets/sheet1.xml" Id="R38988c3ca28340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견적서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항목</x:v>
      </x:c>
      <x:c r="B5" s="12" t="str">
        <x:v>수량</x:v>
      </x:c>
      <x:c r="C5" s="12" t="str">
        <x:v>단가</x:v>
      </x:c>
      <x:c r="D5" s="12" t="str">
        <x:v>공급가액</x:v>
      </x:c>
      <x:c r="E5" s="12" t="str">
        <x:v>세액(10%)</x:v>
      </x:c>
      <x:c r="F5" s="13" t="str">
        <x:v>합계</x:v>
      </x:c>
    </x:row>
    <x:row r="6" ht="24" customHeight="1">
      <x:c r="A6" s="24" t="str">
        <x:v>콘텐츠 기획</x:v>
      </x:c>
      <x:c r="B6" s="27" t="n">
        <x:v>1</x:v>
      </x:c>
      <x:c r="C6" s="27" t="n">
        <x:v>500000</x:v>
      </x:c>
      <x:c r="D6" s="27" t="n">
        <x:f>B6*C6</x:f>
        <x:v>500000</x:v>
      </x:c>
      <x:c r="E6" s="27" t="n">
        <x:f>ROUND(D6*10%,0)</x:f>
        <x:v>50000</x:v>
      </x:c>
      <x:c r="F6" s="27" t="n">
        <x:f>D6+E6</x:f>
        <x:v>550000</x:v>
      </x:c>
    </x:row>
    <x:row r="7" ht="24" customHeight="1">
      <x:c r="A7" s="25" t="str">
        <x:v>촬영·편집</x:v>
      </x:c>
      <x:c r="B7" s="28" t="n">
        <x:v>2</x:v>
      </x:c>
      <x:c r="C7" s="28" t="n">
        <x:v>350000</x:v>
      </x:c>
      <x:c r="D7" s="28" t="n">
        <x:f>B7*C7</x:f>
        <x:v>700000</x:v>
      </x:c>
      <x:c r="E7" s="28" t="n">
        <x:f>ROUND(D7*10%,0)</x:f>
        <x:v>70000</x:v>
      </x:c>
      <x:c r="F7" s="28" t="n">
        <x:f>D7+E7</x:f>
        <x:v>770000</x:v>
      </x:c>
    </x:row>
    <x:row r="8" ht="24" customHeight="1">
      <x:c r="A8" s="26" t="str">
        <x:v>월 운영 보고</x:v>
      </x:c>
      <x:c r="B8" s="29" t="n">
        <x:v>1</x:v>
      </x:c>
      <x:c r="C8" s="29" t="n">
        <x:v>200000</x:v>
      </x:c>
      <x:c r="D8" s="29" t="n">
        <x:f>B8*C8</x:f>
        <x:v>200000</x:v>
      </x:c>
      <x:c r="E8" s="29" t="n">
        <x:f>ROUND(D8*10%,0)</x:f>
        <x:v>20000</x:v>
      </x:c>
      <x:c r="F8" s="29" t="n">
        <x:f>D8+E8</x:f>
        <x:v>220000</x:v>
      </x:c>
    </x:row>
    <x:row r="10">
      <x:c r="A10" s="30" t="str">
        <x:v>거상 창업내비 · 실무용 자료 · 기관 발급 문서나 법정 서식을 대체하지 않습니다.</x:v>
      </x:c>
      <x:c r="B10" s="30"/>
      <x:c r="C10" s="30"/>
      <x:c r="D10" s="30"/>
      <x:c r="E10" s="30"/>
      <x:c r="F10" s="30"/>
    </x:row>
  </x:sheetData>
  <x:mergeCells>
    <x:mergeCell ref="A2:F2"/>
    <x:mergeCell ref="A3:F3"/>
    <x:mergeCell ref="A10:F10"/>
  </x:mergeCells>
  <x:pageMargins left="0.7" right="0.7" top="0.75" bottom="0.75" header="0.3" footer="0.3"/>
</x:worksheet>
</file>